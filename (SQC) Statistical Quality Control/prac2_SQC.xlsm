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835fe141e38722/Desktop/Harsh Excel and Word Files/"/>
    </mc:Choice>
  </mc:AlternateContent>
  <xr:revisionPtr revIDLastSave="4" documentId="8_{46EBA1B5-31E9-4B5E-A275-75D2AB194AE3}" xr6:coauthVersionLast="47" xr6:coauthVersionMax="47" xr10:uidLastSave="{4B424CE9-6769-4283-A68A-29D64DCD18DD}"/>
  <bookViews>
    <workbookView xWindow="-108" yWindow="-108" windowWidth="23256" windowHeight="12456" xr2:uid="{409290EA-8E49-4920-B6E6-CD843011A82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" l="1"/>
  <c r="F29" i="1"/>
  <c r="C31" i="1"/>
  <c r="C29" i="1"/>
  <c r="C30" i="1"/>
  <c r="E25" i="1"/>
  <c r="C26" i="1"/>
  <c r="C25" i="1"/>
  <c r="C23" i="1"/>
  <c r="D23" i="1"/>
</calcChain>
</file>

<file path=xl/sharedStrings.xml><?xml version="1.0" encoding="utf-8"?>
<sst xmlns="http://schemas.openxmlformats.org/spreadsheetml/2006/main" count="17" uniqueCount="17">
  <si>
    <t>Subgroup</t>
  </si>
  <si>
    <t>X</t>
  </si>
  <si>
    <t>R</t>
  </si>
  <si>
    <t>n=</t>
  </si>
  <si>
    <t>X bar=</t>
  </si>
  <si>
    <t>R bar=</t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</si>
  <si>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</si>
  <si>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</si>
  <si>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X chart</t>
  </si>
  <si>
    <t>R chart</t>
  </si>
  <si>
    <r>
      <t>UCL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</si>
  <si>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r>
      <t>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</si>
  <si>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r>
      <t>LCL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</si>
  <si>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r>
      <t>UCL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</si>
  <si>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CL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</si>
  <si>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LCL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</si>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</sst>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X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Sheet1!$F$3:$F$22</c:f>
              <c:numCache>
                <c:formatCode>General</c:formatCode>
                <c:ptCount val="20"/>
                <c:pt idx="0">
                  <c:v>37.026170626095968</c:v>
                </c:pt>
                <c:pt idx="1">
                  <c:v>37.026170626095968</c:v>
                </c:pt>
                <c:pt idx="2">
                  <c:v>37.026170626095968</c:v>
                </c:pt>
                <c:pt idx="3">
                  <c:v>37.026170626095968</c:v>
                </c:pt>
                <c:pt idx="4">
                  <c:v>37.026170626095968</c:v>
                </c:pt>
                <c:pt idx="5">
                  <c:v>37.026170626095968</c:v>
                </c:pt>
                <c:pt idx="6">
                  <c:v>37.026170626095968</c:v>
                </c:pt>
                <c:pt idx="7">
                  <c:v>37.026170626095968</c:v>
                </c:pt>
                <c:pt idx="8">
                  <c:v>37.026170626095968</c:v>
                </c:pt>
                <c:pt idx="9">
                  <c:v>37.026170626095968</c:v>
                </c:pt>
                <c:pt idx="10">
                  <c:v>37.026170626095968</c:v>
                </c:pt>
                <c:pt idx="11">
                  <c:v>37.026170626095968</c:v>
                </c:pt>
                <c:pt idx="12">
                  <c:v>37.026170626095968</c:v>
                </c:pt>
                <c:pt idx="13">
                  <c:v>37.026170626095968</c:v>
                </c:pt>
                <c:pt idx="14">
                  <c:v>37.026170626095968</c:v>
                </c:pt>
                <c:pt idx="15">
                  <c:v>37.026170626095968</c:v>
                </c:pt>
                <c:pt idx="16">
                  <c:v>37.026170626095968</c:v>
                </c:pt>
                <c:pt idx="17">
                  <c:v>37.026170626095968</c:v>
                </c:pt>
                <c:pt idx="18">
                  <c:v>37.026170626095968</c:v>
                </c:pt>
                <c:pt idx="19">
                  <c:v>37.026170626095968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5-4B68-90D8-4D7780ACD87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Sheet1!$G$3:$G$22</c:f>
              <c:numCache>
                <c:formatCode>General</c:formatCode>
                <c:ptCount val="20"/>
                <c:pt idx="0">
                  <c:v>33.450000000000003</c:v>
                </c:pt>
                <c:pt idx="1">
                  <c:v>33.450000000000003</c:v>
                </c:pt>
                <c:pt idx="2">
                  <c:v>33.450000000000003</c:v>
                </c:pt>
                <c:pt idx="3">
                  <c:v>33.450000000000003</c:v>
                </c:pt>
                <c:pt idx="4">
                  <c:v>33.450000000000003</c:v>
                </c:pt>
                <c:pt idx="5">
                  <c:v>33.450000000000003</c:v>
                </c:pt>
                <c:pt idx="6">
                  <c:v>33.450000000000003</c:v>
                </c:pt>
                <c:pt idx="7">
                  <c:v>33.450000000000003</c:v>
                </c:pt>
                <c:pt idx="8">
                  <c:v>33.450000000000003</c:v>
                </c:pt>
                <c:pt idx="9">
                  <c:v>33.450000000000003</c:v>
                </c:pt>
                <c:pt idx="10">
                  <c:v>33.450000000000003</c:v>
                </c:pt>
                <c:pt idx="11">
                  <c:v>33.450000000000003</c:v>
                </c:pt>
                <c:pt idx="12">
                  <c:v>33.450000000000003</c:v>
                </c:pt>
                <c:pt idx="13">
                  <c:v>33.450000000000003</c:v>
                </c:pt>
                <c:pt idx="14">
                  <c:v>33.450000000000003</c:v>
                </c:pt>
                <c:pt idx="15">
                  <c:v>33.450000000000003</c:v>
                </c:pt>
                <c:pt idx="16">
                  <c:v>33.450000000000003</c:v>
                </c:pt>
                <c:pt idx="17">
                  <c:v>33.450000000000003</c:v>
                </c:pt>
                <c:pt idx="18">
                  <c:v>33.450000000000003</c:v>
                </c:pt>
                <c:pt idx="19">
                  <c:v>33.450000000000003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5-4B68-90D8-4D7780ACD87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Sheet1!$H$3:$H$22</c:f>
              <c:numCache>
                <c:formatCode>General</c:formatCode>
                <c:ptCount val="20"/>
                <c:pt idx="0">
                  <c:v>29.873829373904037</c:v>
                </c:pt>
                <c:pt idx="1">
                  <c:v>29.873829373904037</c:v>
                </c:pt>
                <c:pt idx="2">
                  <c:v>29.873829373904037</c:v>
                </c:pt>
                <c:pt idx="3">
                  <c:v>29.873829373904037</c:v>
                </c:pt>
                <c:pt idx="4">
                  <c:v>29.873829373904037</c:v>
                </c:pt>
                <c:pt idx="5">
                  <c:v>29.873829373904037</c:v>
                </c:pt>
                <c:pt idx="6">
                  <c:v>29.873829373904037</c:v>
                </c:pt>
                <c:pt idx="7">
                  <c:v>29.873829373904037</c:v>
                </c:pt>
                <c:pt idx="8">
                  <c:v>29.873829373904037</c:v>
                </c:pt>
                <c:pt idx="9">
                  <c:v>29.873829373904037</c:v>
                </c:pt>
                <c:pt idx="10">
                  <c:v>29.873829373904037</c:v>
                </c:pt>
                <c:pt idx="11">
                  <c:v>29.873829373904037</c:v>
                </c:pt>
                <c:pt idx="12">
                  <c:v>29.873829373904037</c:v>
                </c:pt>
                <c:pt idx="13">
                  <c:v>29.873829373904037</c:v>
                </c:pt>
                <c:pt idx="14">
                  <c:v>29.873829373904037</c:v>
                </c:pt>
                <c:pt idx="15">
                  <c:v>29.873829373904037</c:v>
                </c:pt>
                <c:pt idx="16">
                  <c:v>29.873829373904037</c:v>
                </c:pt>
                <c:pt idx="17">
                  <c:v>29.873829373904037</c:v>
                </c:pt>
                <c:pt idx="18">
                  <c:v>29.873829373904037</c:v>
                </c:pt>
                <c:pt idx="19">
                  <c:v>29.873829373904037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5-4B68-90D8-4D7780ACD871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Sheet1!$C$3:$C$22</c:f>
              <c:numCache>
                <c:formatCode>General</c:formatCode>
                <c:ptCount val="20"/>
                <c:pt idx="0">
                  <c:v>34</c:v>
                </c:pt>
                <c:pt idx="1">
                  <c:v>31.8</c:v>
                </c:pt>
                <c:pt idx="2">
                  <c:v>30.6</c:v>
                </c:pt>
                <c:pt idx="3">
                  <c:v>33</c:v>
                </c:pt>
                <c:pt idx="4">
                  <c:v>35</c:v>
                </c:pt>
                <c:pt idx="5">
                  <c:v>30.2</c:v>
                </c:pt>
                <c:pt idx="6">
                  <c:v>33.6</c:v>
                </c:pt>
                <c:pt idx="7">
                  <c:v>32</c:v>
                </c:pt>
                <c:pt idx="8">
                  <c:v>33.799999999999997</c:v>
                </c:pt>
                <c:pt idx="9">
                  <c:v>37.799999999999997</c:v>
                </c:pt>
                <c:pt idx="10">
                  <c:v>35.799999999999997</c:v>
                </c:pt>
                <c:pt idx="11">
                  <c:v>38.4</c:v>
                </c:pt>
                <c:pt idx="12">
                  <c:v>34</c:v>
                </c:pt>
                <c:pt idx="13">
                  <c:v>35</c:v>
                </c:pt>
                <c:pt idx="14">
                  <c:v>33.799999999999997</c:v>
                </c:pt>
                <c:pt idx="15">
                  <c:v>31.6</c:v>
                </c:pt>
                <c:pt idx="16">
                  <c:v>33</c:v>
                </c:pt>
                <c:pt idx="17">
                  <c:v>28.2</c:v>
                </c:pt>
                <c:pt idx="18">
                  <c:v>31.8</c:v>
                </c:pt>
                <c:pt idx="19">
                  <c:v>35.6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5-4B68-90D8-4D7780ACD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779743"/>
        <c:axId val="1934881967"/>
      </c:lineChart>
      <c:catAx>
        <c:axId val="387797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881967"/>
        <c:crosses val="autoZero"/>
        <c:auto val="1"/>
        <c:lblAlgn val="ctr"/>
        <c:lblOffset val="100"/>
        <c:noMultiLvlLbl val="0"/>
      </c:catAx>
      <c:valAx>
        <c:axId val="19348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 R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Sheet1!$J$3:$J$22</c:f>
              <c:numCache>
                <c:formatCode>General</c:formatCode>
                <c:ptCount val="2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12.4</c:v>
                </c:pt>
                <c:pt idx="11">
                  <c:v>12.4</c:v>
                </c:pt>
                <c:pt idx="12">
                  <c:v>12.4</c:v>
                </c:pt>
                <c:pt idx="13">
                  <c:v>12.4</c:v>
                </c:pt>
                <c:pt idx="14">
                  <c:v>12.4</c:v>
                </c:pt>
                <c:pt idx="15">
                  <c:v>12.4</c:v>
                </c:pt>
                <c:pt idx="16">
                  <c:v>12.4</c:v>
                </c:pt>
                <c:pt idx="17">
                  <c:v>12.4</c:v>
                </c:pt>
                <c:pt idx="18">
                  <c:v>12.4</c:v>
                </c:pt>
                <c:pt idx="19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8E-4C79-B090-C5FA5B67A69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Sheet1!$K$3:$K$22</c:f>
              <c:numCache>
                <c:formatCode>General</c:formatCode>
                <c:ptCount val="20"/>
                <c:pt idx="0">
                  <c:v>6.2</c:v>
                </c:pt>
                <c:pt idx="1">
                  <c:v>6.2</c:v>
                </c:pt>
                <c:pt idx="2">
                  <c:v>6.2</c:v>
                </c:pt>
                <c:pt idx="3">
                  <c:v>6.2</c:v>
                </c:pt>
                <c:pt idx="4">
                  <c:v>6.2</c:v>
                </c:pt>
                <c:pt idx="5">
                  <c:v>6.2</c:v>
                </c:pt>
                <c:pt idx="6">
                  <c:v>6.2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8E-4C79-B090-C5FA5B67A69E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Sheet1!$L$3:$L$22</c:f>
              <c:numCache>
                <c:formatCode>General</c:formatCode>
                <c:ptCount val="20"/>
                <c:pt idx="0">
                  <c:v>2.9999999999999997E-4</c:v>
                </c:pt>
                <c:pt idx="1">
                  <c:v>2.9999999999999997E-4</c:v>
                </c:pt>
                <c:pt idx="2">
                  <c:v>2.9999999999999997E-4</c:v>
                </c:pt>
                <c:pt idx="3">
                  <c:v>2.9999999999999997E-4</c:v>
                </c:pt>
                <c:pt idx="4">
                  <c:v>2.9999999999999997E-4</c:v>
                </c:pt>
                <c:pt idx="5">
                  <c:v>2.9999999999999997E-4</c:v>
                </c:pt>
                <c:pt idx="6">
                  <c:v>2.9999999999999997E-4</c:v>
                </c:pt>
                <c:pt idx="7">
                  <c:v>2.9999999999999997E-4</c:v>
                </c:pt>
                <c:pt idx="8">
                  <c:v>2.9999999999999997E-4</c:v>
                </c:pt>
                <c:pt idx="9">
                  <c:v>2.9999999999999997E-4</c:v>
                </c:pt>
                <c:pt idx="10">
                  <c:v>2.9999999999999997E-4</c:v>
                </c:pt>
                <c:pt idx="11">
                  <c:v>2.9999999999999997E-4</c:v>
                </c:pt>
                <c:pt idx="12">
                  <c:v>2.9999999999999997E-4</c:v>
                </c:pt>
                <c:pt idx="13">
                  <c:v>2.9999999999999997E-4</c:v>
                </c:pt>
                <c:pt idx="14">
                  <c:v>2.9999999999999997E-4</c:v>
                </c:pt>
                <c:pt idx="15">
                  <c:v>2.9999999999999997E-4</c:v>
                </c:pt>
                <c:pt idx="16">
                  <c:v>2.9999999999999997E-4</c:v>
                </c:pt>
                <c:pt idx="17">
                  <c:v>2.9999999999999997E-4</c:v>
                </c:pt>
                <c:pt idx="18">
                  <c:v>2.9999999999999997E-4</c:v>
                </c:pt>
                <c:pt idx="19">
                  <c:v>2.9999999999999997E-4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8E-4C79-B090-C5FA5B67A69E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Sheet1!$D$3:$D$22</c:f>
              <c:numCache>
                <c:formatCode>General</c:formatCode>
                <c:ptCount val="20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13</c:v>
                </c:pt>
                <c:pt idx="8">
                  <c:v>19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14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9</c:v>
                </c:pt>
                <c:pt idx="1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8E-4C79-B090-C5FA5B67A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90223"/>
        <c:axId val="103077087"/>
      </c:lineChart>
      <c:catAx>
        <c:axId val="37390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77087"/>
        <c:crosses val="autoZero"/>
        <c:auto val="1"/>
        <c:lblAlgn val="ctr"/>
        <c:lblOffset val="100"/>
        <c:noMultiLvlLbl val="0"/>
      </c:catAx>
      <c:valAx>
        <c:axId val="1030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90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548640</xdr:colOff>
      <xdr:row>0</xdr:row>
      <xdr:rowOff>125730</xdr:rowOff>
    </xdr:from>
    <xdr:to>
      <xdr:col>21</xdr:col>
      <xdr:colOff>243840</xdr:colOff>
      <xdr:row>15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9572E0-8BEA-7B1D-FF1F-F237E4741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601980</xdr:colOff>
      <xdr:row>16</xdr:row>
      <xdr:rowOff>11430</xdr:rowOff>
    </xdr:from>
    <xdr:to>
      <xdr:col>21</xdr:col>
      <xdr:colOff>297180</xdr:colOff>
      <xdr:row>30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A3B64D-81C2-E6C4-99F2-735D1DA36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B0D1F-43E3-4513-8FB2-19775464A374}">
  <dimension ref="B1:L31"/>
  <sheetViews>
    <sheetView tabSelected="1" workbookViewId="0">
      <selection activeCell="N23" sqref="N23"/>
    </sheetView>
  </sheetViews>
  <sheetFormatPr defaultRowHeight="14.4" x14ac:dyDescent="0.3"/>
  <sheetData>
    <row r="1" spans="2:12" ht="15" thickBot="1" x14ac:dyDescent="0.35"/>
    <row r="2" spans="2:12" x14ac:dyDescent="0.3">
      <c r="B2" s="7" t="s">
        <v>0</v>
      </c>
      <c r="C2" s="8" t="s">
        <v>1</v>
      </c>
      <c r="D2" s="9" t="s">
        <v>2</v>
      </c>
    </row>
    <row r="3" spans="2:12" x14ac:dyDescent="0.3">
      <c r="B3" s="2">
        <v>1</v>
      </c>
      <c r="C3" s="1">
        <v>34</v>
      </c>
      <c r="D3" s="3">
        <v>4</v>
      </c>
      <c r="F3">
        <v>37.026170626095968</v>
      </c>
      <c r="G3">
        <v>33.450000000000003</v>
      </c>
      <c r="H3">
        <v>29.873829373904037</v>
      </c>
      <c r="J3">
        <v>12.4</v>
      </c>
      <c r="K3">
        <v>6.2</v>
      </c>
      <c r="L3">
        <v>2.9999999999999997E-4</v>
      </c>
    </row>
    <row r="4" spans="2:12" x14ac:dyDescent="0.3">
      <c r="B4" s="2">
        <v>2</v>
      </c>
      <c r="C4" s="1">
        <v>31.8</v>
      </c>
      <c r="D4" s="3">
        <v>4</v>
      </c>
      <c r="F4">
        <v>37.026170626095968</v>
      </c>
      <c r="G4">
        <v>33.450000000000003</v>
      </c>
      <c r="H4">
        <v>29.873829373904037</v>
      </c>
      <c r="J4">
        <v>12.4</v>
      </c>
      <c r="K4">
        <v>6.2</v>
      </c>
      <c r="L4">
        <v>2.9999999999999997E-4</v>
      </c>
    </row>
    <row r="5" spans="2:12" x14ac:dyDescent="0.3">
      <c r="B5" s="2">
        <v>3</v>
      </c>
      <c r="C5" s="1">
        <v>30.6</v>
      </c>
      <c r="D5" s="3">
        <v>2</v>
      </c>
      <c r="F5">
        <v>37.026170626095968</v>
      </c>
      <c r="G5">
        <v>33.450000000000003</v>
      </c>
      <c r="H5">
        <v>29.873829373904037</v>
      </c>
      <c r="J5">
        <v>12.4</v>
      </c>
      <c r="K5">
        <v>6.2</v>
      </c>
      <c r="L5">
        <v>2.9999999999999997E-4</v>
      </c>
    </row>
    <row r="6" spans="2:12" x14ac:dyDescent="0.3">
      <c r="B6" s="2">
        <v>4</v>
      </c>
      <c r="C6" s="1">
        <v>33</v>
      </c>
      <c r="D6" s="3">
        <v>3</v>
      </c>
      <c r="F6">
        <v>37.026170626095968</v>
      </c>
      <c r="G6">
        <v>33.450000000000003</v>
      </c>
      <c r="H6">
        <v>29.873829373904037</v>
      </c>
      <c r="J6">
        <v>12.4</v>
      </c>
      <c r="K6">
        <v>6.2</v>
      </c>
      <c r="L6">
        <v>2.9999999999999997E-4</v>
      </c>
    </row>
    <row r="7" spans="2:12" x14ac:dyDescent="0.3">
      <c r="B7" s="2">
        <v>5</v>
      </c>
      <c r="C7" s="1">
        <v>35</v>
      </c>
      <c r="D7" s="3">
        <v>5</v>
      </c>
      <c r="F7">
        <v>37.026170626095968</v>
      </c>
      <c r="G7">
        <v>33.450000000000003</v>
      </c>
      <c r="H7">
        <v>29.873829373904037</v>
      </c>
      <c r="J7">
        <v>12.4</v>
      </c>
      <c r="K7">
        <v>6.2</v>
      </c>
      <c r="L7">
        <v>2.9999999999999997E-4</v>
      </c>
    </row>
    <row r="8" spans="2:12" x14ac:dyDescent="0.3">
      <c r="B8" s="2">
        <v>6</v>
      </c>
      <c r="C8" s="1">
        <v>30.2</v>
      </c>
      <c r="D8" s="3">
        <v>2</v>
      </c>
      <c r="F8">
        <v>37.026170626095968</v>
      </c>
      <c r="G8">
        <v>33.450000000000003</v>
      </c>
      <c r="H8">
        <v>29.873829373904037</v>
      </c>
      <c r="J8">
        <v>12.4</v>
      </c>
      <c r="K8">
        <v>6.2</v>
      </c>
      <c r="L8">
        <v>2.9999999999999997E-4</v>
      </c>
    </row>
    <row r="9" spans="2:12" x14ac:dyDescent="0.3">
      <c r="B9" s="2">
        <v>7</v>
      </c>
      <c r="C9" s="1">
        <v>33.6</v>
      </c>
      <c r="D9" s="3">
        <v>5</v>
      </c>
      <c r="F9">
        <v>37.026170626095968</v>
      </c>
      <c r="G9">
        <v>33.450000000000003</v>
      </c>
      <c r="H9">
        <v>29.873829373904037</v>
      </c>
      <c r="J9">
        <v>12.4</v>
      </c>
      <c r="K9">
        <v>6.2</v>
      </c>
      <c r="L9">
        <v>2.9999999999999997E-4</v>
      </c>
    </row>
    <row r="10" spans="2:12" x14ac:dyDescent="0.3">
      <c r="B10" s="2">
        <v>8</v>
      </c>
      <c r="C10" s="1">
        <v>32</v>
      </c>
      <c r="D10" s="3">
        <v>13</v>
      </c>
      <c r="F10">
        <v>37.026170626095968</v>
      </c>
      <c r="G10">
        <v>33.450000000000003</v>
      </c>
      <c r="H10">
        <v>29.873829373904037</v>
      </c>
      <c r="J10">
        <v>12.4</v>
      </c>
      <c r="K10">
        <v>6.2</v>
      </c>
      <c r="L10">
        <v>2.9999999999999997E-4</v>
      </c>
    </row>
    <row r="11" spans="2:12" x14ac:dyDescent="0.3">
      <c r="B11" s="2">
        <v>9</v>
      </c>
      <c r="C11" s="1">
        <v>33.799999999999997</v>
      </c>
      <c r="D11" s="3">
        <v>19</v>
      </c>
      <c r="F11">
        <v>37.026170626095968</v>
      </c>
      <c r="G11">
        <v>33.450000000000003</v>
      </c>
      <c r="H11">
        <v>29.873829373904037</v>
      </c>
      <c r="J11">
        <v>12.4</v>
      </c>
      <c r="K11">
        <v>6.2</v>
      </c>
      <c r="L11">
        <v>2.9999999999999997E-4</v>
      </c>
    </row>
    <row r="12" spans="2:12" x14ac:dyDescent="0.3">
      <c r="B12" s="2">
        <v>10</v>
      </c>
      <c r="C12" s="1">
        <v>37.799999999999997</v>
      </c>
      <c r="D12" s="3">
        <v>6</v>
      </c>
      <c r="F12">
        <v>37.026170626095968</v>
      </c>
      <c r="G12">
        <v>33.450000000000003</v>
      </c>
      <c r="H12">
        <v>29.873829373904037</v>
      </c>
      <c r="J12">
        <v>12.4</v>
      </c>
      <c r="K12">
        <v>6.2</v>
      </c>
      <c r="L12">
        <v>2.9999999999999997E-4</v>
      </c>
    </row>
    <row r="13" spans="2:12" x14ac:dyDescent="0.3">
      <c r="B13" s="2">
        <v>11</v>
      </c>
      <c r="C13" s="1">
        <v>35.799999999999997</v>
      </c>
      <c r="D13" s="3">
        <v>4</v>
      </c>
      <c r="F13">
        <v>37.026170626095968</v>
      </c>
      <c r="G13">
        <v>33.450000000000003</v>
      </c>
      <c r="H13">
        <v>29.873829373904037</v>
      </c>
      <c r="J13">
        <v>12.4</v>
      </c>
      <c r="K13">
        <v>6.2</v>
      </c>
      <c r="L13">
        <v>2.9999999999999997E-4</v>
      </c>
    </row>
    <row r="14" spans="2:12" x14ac:dyDescent="0.3">
      <c r="B14" s="2">
        <v>12</v>
      </c>
      <c r="C14" s="1">
        <v>38.4</v>
      </c>
      <c r="D14" s="3">
        <v>4</v>
      </c>
      <c r="F14">
        <v>37.026170626095968</v>
      </c>
      <c r="G14">
        <v>33.450000000000003</v>
      </c>
      <c r="H14">
        <v>29.873829373904037</v>
      </c>
      <c r="J14">
        <v>12.4</v>
      </c>
      <c r="K14">
        <v>6.2</v>
      </c>
      <c r="L14">
        <v>2.9999999999999997E-4</v>
      </c>
    </row>
    <row r="15" spans="2:12" x14ac:dyDescent="0.3">
      <c r="B15" s="2">
        <v>13</v>
      </c>
      <c r="C15" s="1">
        <v>34</v>
      </c>
      <c r="D15" s="3">
        <v>14</v>
      </c>
      <c r="F15">
        <v>37.026170626095968</v>
      </c>
      <c r="G15">
        <v>33.450000000000003</v>
      </c>
      <c r="H15">
        <v>29.873829373904037</v>
      </c>
      <c r="J15">
        <v>12.4</v>
      </c>
      <c r="K15">
        <v>6.2</v>
      </c>
      <c r="L15">
        <v>2.9999999999999997E-4</v>
      </c>
    </row>
    <row r="16" spans="2:12" x14ac:dyDescent="0.3">
      <c r="B16" s="2">
        <v>14</v>
      </c>
      <c r="C16" s="1">
        <v>35</v>
      </c>
      <c r="D16" s="3">
        <v>4</v>
      </c>
      <c r="F16">
        <v>37.026170626095968</v>
      </c>
      <c r="G16">
        <v>33.450000000000003</v>
      </c>
      <c r="H16">
        <v>29.873829373904037</v>
      </c>
      <c r="J16">
        <v>12.4</v>
      </c>
      <c r="K16">
        <v>6.2</v>
      </c>
      <c r="L16">
        <v>2.9999999999999997E-4</v>
      </c>
    </row>
    <row r="17" spans="2:12" x14ac:dyDescent="0.3">
      <c r="B17" s="2">
        <v>15</v>
      </c>
      <c r="C17" s="1">
        <v>33.799999999999997</v>
      </c>
      <c r="D17" s="3">
        <v>7</v>
      </c>
      <c r="F17">
        <v>37.026170626095968</v>
      </c>
      <c r="G17">
        <v>33.450000000000003</v>
      </c>
      <c r="H17">
        <v>29.873829373904037</v>
      </c>
      <c r="J17">
        <v>12.4</v>
      </c>
      <c r="K17">
        <v>6.2</v>
      </c>
      <c r="L17">
        <v>2.9999999999999997E-4</v>
      </c>
    </row>
    <row r="18" spans="2:12" x14ac:dyDescent="0.3">
      <c r="B18" s="2">
        <v>16</v>
      </c>
      <c r="C18" s="1">
        <v>31.6</v>
      </c>
      <c r="D18" s="3">
        <v>5</v>
      </c>
      <c r="F18">
        <v>37.026170626095968</v>
      </c>
      <c r="G18">
        <v>33.450000000000003</v>
      </c>
      <c r="H18">
        <v>29.873829373904037</v>
      </c>
      <c r="J18">
        <v>12.4</v>
      </c>
      <c r="K18">
        <v>6.2</v>
      </c>
      <c r="L18">
        <v>2.9999999999999997E-4</v>
      </c>
    </row>
    <row r="19" spans="2:12" x14ac:dyDescent="0.3">
      <c r="B19" s="2">
        <v>17</v>
      </c>
      <c r="C19" s="1">
        <v>33</v>
      </c>
      <c r="D19" s="3">
        <v>5</v>
      </c>
      <c r="F19">
        <v>37.026170626095968</v>
      </c>
      <c r="G19">
        <v>33.450000000000003</v>
      </c>
      <c r="H19">
        <v>29.873829373904037</v>
      </c>
      <c r="J19">
        <v>12.4</v>
      </c>
      <c r="K19">
        <v>6.2</v>
      </c>
      <c r="L19">
        <v>2.9999999999999997E-4</v>
      </c>
    </row>
    <row r="20" spans="2:12" x14ac:dyDescent="0.3">
      <c r="B20" s="2">
        <v>18</v>
      </c>
      <c r="C20" s="1">
        <v>28.2</v>
      </c>
      <c r="D20" s="3">
        <v>3</v>
      </c>
      <c r="F20">
        <v>37.026170626095968</v>
      </c>
      <c r="G20">
        <v>33.450000000000003</v>
      </c>
      <c r="H20">
        <v>29.873829373904037</v>
      </c>
      <c r="J20">
        <v>12.4</v>
      </c>
      <c r="K20">
        <v>6.2</v>
      </c>
      <c r="L20">
        <v>2.9999999999999997E-4</v>
      </c>
    </row>
    <row r="21" spans="2:12" x14ac:dyDescent="0.3">
      <c r="B21" s="2">
        <v>19</v>
      </c>
      <c r="C21" s="1">
        <v>31.8</v>
      </c>
      <c r="D21" s="3">
        <v>9</v>
      </c>
      <c r="F21">
        <v>37.026170626095968</v>
      </c>
      <c r="G21">
        <v>33.450000000000003</v>
      </c>
      <c r="H21">
        <v>29.873829373904037</v>
      </c>
      <c r="J21">
        <v>12.4</v>
      </c>
      <c r="K21">
        <v>6.2</v>
      </c>
      <c r="L21">
        <v>2.9999999999999997E-4</v>
      </c>
    </row>
    <row r="22" spans="2:12" ht="15" thickBot="1" x14ac:dyDescent="0.35">
      <c r="B22" s="10">
        <v>20</v>
      </c>
      <c r="C22" s="11">
        <v>35.6</v>
      </c>
      <c r="D22" s="12">
        <v>6</v>
      </c>
      <c r="F22">
        <v>37.026170626095968</v>
      </c>
      <c r="G22">
        <v>33.450000000000003</v>
      </c>
      <c r="H22">
        <v>29.873829373904037</v>
      </c>
      <c r="J22">
        <v>12.4</v>
      </c>
      <c r="K22">
        <v>6.2</v>
      </c>
      <c r="L22">
        <v>2.9999999999999997E-4</v>
      </c>
    </row>
    <row r="23" spans="2:12" ht="15" thickBot="1" x14ac:dyDescent="0.35">
      <c r="B23" s="4" t="s">
        <v>16</v>
      </c>
      <c r="C23" s="5">
        <f>SUM(C3:C22)</f>
        <v>669</v>
      </c>
      <c r="D23" s="6">
        <f>SUM(D3:D22)</f>
        <v>124</v>
      </c>
    </row>
    <row r="24" spans="2:12" x14ac:dyDescent="0.3">
      <c r="C24">
        <v>20</v>
      </c>
      <c r="D24" t="s">
        <v>3</v>
      </c>
      <c r="E24">
        <v>5</v>
      </c>
    </row>
    <row r="25" spans="2:12" ht="15.6" x14ac:dyDescent="0.35">
      <c r="B25" t="s">
        <v>4</v>
      </c>
      <c r="C25">
        <f>C23/C24</f>
        <v>33.450000000000003</v>
      </c>
      <c r="D25" t="s">
        <v>6</v>
      </c>
      <c r="E25">
        <f>2.326/3</f>
        <v>0.77533333333333332</v>
      </c>
    </row>
    <row r="26" spans="2:12" ht="15.6" x14ac:dyDescent="0.35">
      <c r="B26" t="s">
        <v>5</v>
      </c>
      <c r="C26">
        <f>D23/C24</f>
        <v>6.2</v>
      </c>
      <c r="D26" t="s">
        <v>7</v>
      </c>
      <c r="E26">
        <v>2.3260000000000001</v>
      </c>
    </row>
    <row r="28" spans="2:12" x14ac:dyDescent="0.3">
      <c r="B28" t="s">
        <v>8</v>
      </c>
      <c r="E28" t="s">
        <v>9</v>
      </c>
    </row>
    <row r="29" spans="2:12" ht="15.6" x14ac:dyDescent="0.35">
      <c r="B29" t="s">
        <v>13</v>
      </c>
      <c r="C29">
        <f>$C$25+(3*$C$26)/($E$26*SQRT(5))</f>
        <v>37.026170626095968</v>
      </c>
      <c r="E29" t="s">
        <v>10</v>
      </c>
      <c r="F29">
        <f>$C$26+(3*$E$25*$C$26)/$E$26</f>
        <v>12.4</v>
      </c>
    </row>
    <row r="30" spans="2:12" ht="15.6" x14ac:dyDescent="0.35">
      <c r="B30" t="s">
        <v>14</v>
      </c>
      <c r="C30">
        <f>C25</f>
        <v>33.450000000000003</v>
      </c>
      <c r="E30" t="s">
        <v>11</v>
      </c>
      <c r="F30">
        <f>C26</f>
        <v>6.2</v>
      </c>
    </row>
    <row r="31" spans="2:12" ht="15.6" x14ac:dyDescent="0.35">
      <c r="B31" t="s">
        <v>15</v>
      </c>
      <c r="C31">
        <f>$C$25-(3*$C$26)/($E$26*SQRT(5))</f>
        <v>29.873829373904037</v>
      </c>
      <c r="E31" t="s">
        <v>12</v>
      </c>
      <c r="F31">
        <v>2.9999999999999997E-4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 gupta</dc:creator>
  <cp:lastModifiedBy>Prashant gupta</cp:lastModifiedBy>
  <dcterms:created xsi:type="dcterms:W3CDTF">2024-03-01T12:59:18Z</dcterms:created>
  <dcterms:modified xsi:type="dcterms:W3CDTF">2024-03-01T13:51:49Z</dcterms:modified>
</cp:coreProperties>
</file>