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7835fe141e38722/Desktop/Harsh Excel and Word Files/"/>
    </mc:Choice>
  </mc:AlternateContent>
  <xr:revisionPtr revIDLastSave="0" documentId="8_{FD89EA4F-7FA0-4012-AF2D-D9623B82002B}" xr6:coauthVersionLast="47" xr6:coauthVersionMax="47" xr10:uidLastSave="{00000000-0000-0000-0000-000000000000}"/>
  <bookViews>
    <workbookView xWindow="-108" yWindow="-108" windowWidth="23256" windowHeight="12456" xr2:uid="{1A65EEDC-0E74-4152-B460-B9E14BA8B9D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 l="1"/>
  <c r="C32" i="1"/>
  <c r="C31" i="1"/>
  <c r="C28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3" i="1"/>
  <c r="D25" i="1" s="1"/>
</calcChain>
</file>

<file path=xl/sharedStrings.xml><?xml version="1.0" encoding="utf-8"?>
<sst xmlns="http://schemas.openxmlformats.org/spreadsheetml/2006/main" count="8" uniqueCount="8">
  <si>
    <t>S.No.</t>
  </si>
  <si>
    <t>def</t>
  </si>
  <si>
    <t>n=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</si>
  <si>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i</t>
    </r>
  </si>
  <si>
    <t>p bar</t>
  </si>
  <si>
    <r>
      <t>UCL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=</t>
    </r>
  </si>
  <si>
    <r>
      <t>CL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=</t>
    </r>
  </si>
  <si>
    <r>
      <t>LCL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</si>
</sst>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</a:t>
            </a:r>
            <a:r>
              <a:rPr lang="en-IN" baseline="0"/>
              <a:t> Chart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Sheet1!$F$3:$F$24</c:f>
              <c:numCache>
                <c:formatCode>General</c:formatCode>
                <c:ptCount val="22"/>
                <c:pt idx="0">
                  <c:v>0.1840856774294754</c:v>
                </c:pt>
                <c:pt idx="1">
                  <c:v>0.1840856774294754</c:v>
                </c:pt>
                <c:pt idx="2">
                  <c:v>0.1840856774294754</c:v>
                </c:pt>
                <c:pt idx="3">
                  <c:v>0.1840856774294754</c:v>
                </c:pt>
                <c:pt idx="4">
                  <c:v>0.1840856774294754</c:v>
                </c:pt>
                <c:pt idx="5">
                  <c:v>0.1840856774294754</c:v>
                </c:pt>
                <c:pt idx="6">
                  <c:v>0.1840856774294754</c:v>
                </c:pt>
                <c:pt idx="7">
                  <c:v>0.1840856774294754</c:v>
                </c:pt>
                <c:pt idx="8">
                  <c:v>0.1840856774294754</c:v>
                </c:pt>
                <c:pt idx="9">
                  <c:v>0.1840856774294754</c:v>
                </c:pt>
                <c:pt idx="10">
                  <c:v>0.1840856774294754</c:v>
                </c:pt>
                <c:pt idx="11">
                  <c:v>0.1840856774294754</c:v>
                </c:pt>
                <c:pt idx="12">
                  <c:v>0.1840856774294754</c:v>
                </c:pt>
                <c:pt idx="13">
                  <c:v>0.1840856774294754</c:v>
                </c:pt>
                <c:pt idx="14">
                  <c:v>0.1840856774294754</c:v>
                </c:pt>
                <c:pt idx="15">
                  <c:v>0.1840856774294754</c:v>
                </c:pt>
                <c:pt idx="16">
                  <c:v>0.1840856774294754</c:v>
                </c:pt>
                <c:pt idx="17">
                  <c:v>0.1840856774294754</c:v>
                </c:pt>
                <c:pt idx="18">
                  <c:v>0.1840856774294754</c:v>
                </c:pt>
                <c:pt idx="19">
                  <c:v>0.1840856774294754</c:v>
                </c:pt>
                <c:pt idx="20">
                  <c:v>0.1840856774294754</c:v>
                </c:pt>
                <c:pt idx="21">
                  <c:v>0.1840856774294754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49-4041-8DC3-A5410A1C004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Sheet1!$G$3:$G$24</c:f>
              <c:numCache>
                <c:formatCode>General</c:formatCode>
                <c:ptCount val="22"/>
                <c:pt idx="0">
                  <c:v>0.15952272727272729</c:v>
                </c:pt>
                <c:pt idx="1">
                  <c:v>0.15952272727272729</c:v>
                </c:pt>
                <c:pt idx="2">
                  <c:v>0.15952272727272729</c:v>
                </c:pt>
                <c:pt idx="3">
                  <c:v>0.15952272727272729</c:v>
                </c:pt>
                <c:pt idx="4">
                  <c:v>0.15952272727272729</c:v>
                </c:pt>
                <c:pt idx="5">
                  <c:v>0.15952272727272729</c:v>
                </c:pt>
                <c:pt idx="6">
                  <c:v>0.15952272727272729</c:v>
                </c:pt>
                <c:pt idx="7">
                  <c:v>0.15952272727272729</c:v>
                </c:pt>
                <c:pt idx="8">
                  <c:v>0.15952272727272729</c:v>
                </c:pt>
                <c:pt idx="9">
                  <c:v>0.15952272727272729</c:v>
                </c:pt>
                <c:pt idx="10">
                  <c:v>0.15952272727272729</c:v>
                </c:pt>
                <c:pt idx="11">
                  <c:v>0.15952272727272729</c:v>
                </c:pt>
                <c:pt idx="12">
                  <c:v>0.15952272727272729</c:v>
                </c:pt>
                <c:pt idx="13">
                  <c:v>0.15952272727272729</c:v>
                </c:pt>
                <c:pt idx="14">
                  <c:v>0.15952272727272729</c:v>
                </c:pt>
                <c:pt idx="15">
                  <c:v>0.15952272727272729</c:v>
                </c:pt>
                <c:pt idx="16">
                  <c:v>0.15952272727272729</c:v>
                </c:pt>
                <c:pt idx="17">
                  <c:v>0.15952272727272729</c:v>
                </c:pt>
                <c:pt idx="18">
                  <c:v>0.15952272727272729</c:v>
                </c:pt>
                <c:pt idx="19">
                  <c:v>0.15952272727272729</c:v>
                </c:pt>
                <c:pt idx="20">
                  <c:v>0.15952272727272729</c:v>
                </c:pt>
                <c:pt idx="21">
                  <c:v>0.15952272727272729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49-4041-8DC3-A5410A1C004B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Sheet1!$H$3:$H$24</c:f>
              <c:numCache>
                <c:formatCode>General</c:formatCode>
                <c:ptCount val="22"/>
                <c:pt idx="0">
                  <c:v>0.13495977711597917</c:v>
                </c:pt>
                <c:pt idx="1">
                  <c:v>0.13495977711597917</c:v>
                </c:pt>
                <c:pt idx="2">
                  <c:v>0.13495977711597917</c:v>
                </c:pt>
                <c:pt idx="3">
                  <c:v>0.13495977711597917</c:v>
                </c:pt>
                <c:pt idx="4">
                  <c:v>0.13495977711597917</c:v>
                </c:pt>
                <c:pt idx="5">
                  <c:v>0.13495977711597917</c:v>
                </c:pt>
                <c:pt idx="6">
                  <c:v>0.13495977711597917</c:v>
                </c:pt>
                <c:pt idx="7">
                  <c:v>0.13495977711597917</c:v>
                </c:pt>
                <c:pt idx="8">
                  <c:v>0.13495977711597917</c:v>
                </c:pt>
                <c:pt idx="9">
                  <c:v>0.13495977711597917</c:v>
                </c:pt>
                <c:pt idx="10">
                  <c:v>0.13495977711597917</c:v>
                </c:pt>
                <c:pt idx="11">
                  <c:v>0.13495977711597917</c:v>
                </c:pt>
                <c:pt idx="12">
                  <c:v>0.13495977711597917</c:v>
                </c:pt>
                <c:pt idx="13">
                  <c:v>0.13495977711597917</c:v>
                </c:pt>
                <c:pt idx="14">
                  <c:v>0.13495977711597917</c:v>
                </c:pt>
                <c:pt idx="15">
                  <c:v>0.13495977711597917</c:v>
                </c:pt>
                <c:pt idx="16">
                  <c:v>0.13495977711597917</c:v>
                </c:pt>
                <c:pt idx="17">
                  <c:v>0.13495977711597917</c:v>
                </c:pt>
                <c:pt idx="18">
                  <c:v>0.13495977711597917</c:v>
                </c:pt>
                <c:pt idx="19">
                  <c:v>0.13495977711597917</c:v>
                </c:pt>
                <c:pt idx="20">
                  <c:v>0.13495977711597917</c:v>
                </c:pt>
                <c:pt idx="21">
                  <c:v>0.13495977711597917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49-4041-8DC3-A5410A1C004B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Sheet1!$D$3:$D$24</c:f>
              <c:numCache>
                <c:formatCode>General</c:formatCode>
                <c:ptCount val="22"/>
                <c:pt idx="0">
                  <c:v>0.21249999999999999</c:v>
                </c:pt>
                <c:pt idx="1">
                  <c:v>0.215</c:v>
                </c:pt>
                <c:pt idx="2">
                  <c:v>0.108</c:v>
                </c:pt>
                <c:pt idx="3">
                  <c:v>0.17050000000000001</c:v>
                </c:pt>
                <c:pt idx="4">
                  <c:v>0.1125</c:v>
                </c:pt>
                <c:pt idx="5">
                  <c:v>0.161</c:v>
                </c:pt>
                <c:pt idx="6">
                  <c:v>0.14000000000000001</c:v>
                </c:pt>
                <c:pt idx="7">
                  <c:v>0.153</c:v>
                </c:pt>
                <c:pt idx="8">
                  <c:v>0.16850000000000001</c:v>
                </c:pt>
                <c:pt idx="9">
                  <c:v>0.1525</c:v>
                </c:pt>
                <c:pt idx="10">
                  <c:v>0.17799999999999999</c:v>
                </c:pt>
                <c:pt idx="11">
                  <c:v>0.20100000000000001</c:v>
                </c:pt>
                <c:pt idx="12">
                  <c:v>0.108</c:v>
                </c:pt>
                <c:pt idx="13">
                  <c:v>0.13200000000000001</c:v>
                </c:pt>
                <c:pt idx="14">
                  <c:v>6.3E-2</c:v>
                </c:pt>
                <c:pt idx="15">
                  <c:v>0.20449999999999999</c:v>
                </c:pt>
                <c:pt idx="16">
                  <c:v>9.6500000000000002E-2</c:v>
                </c:pt>
                <c:pt idx="17">
                  <c:v>0.16300000000000001</c:v>
                </c:pt>
                <c:pt idx="18">
                  <c:v>0.14000000000000001</c:v>
                </c:pt>
                <c:pt idx="19">
                  <c:v>0.19450000000000001</c:v>
                </c:pt>
                <c:pt idx="20">
                  <c:v>0.22550000000000001</c:v>
                </c:pt>
                <c:pt idx="21">
                  <c:v>0.21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49-4041-8DC3-A5410A1C0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3663808"/>
        <c:axId val="1630127280"/>
      </c:lineChart>
      <c:catAx>
        <c:axId val="16336638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127280"/>
        <c:crosses val="autoZero"/>
        <c:auto val="1"/>
        <c:lblAlgn val="ctr"/>
        <c:lblOffset val="100"/>
        <c:noMultiLvlLbl val="0"/>
      </c:catAx>
      <c:valAx>
        <c:axId val="163012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66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518160</xdr:colOff>
      <xdr:row>4</xdr:row>
      <xdr:rowOff>163830</xdr:rowOff>
    </xdr:from>
    <xdr:to>
      <xdr:col>16</xdr:col>
      <xdr:colOff>213360</xdr:colOff>
      <xdr:row>19</xdr:row>
      <xdr:rowOff>163830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55C5F2-208D-817D-02F7-54AAFD22F8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65221-C6D6-4BF4-A0C6-C32A4D5BF6F0}">
  <dimension ref="B1:H32"/>
  <sheetViews>
    <sheetView tabSelected="1" topLeftCell="A2" workbookViewId="0">
      <selection activeCell="R4" sqref="R4"/>
    </sheetView>
  </sheetViews>
  <sheetFormatPr defaultRowHeight="14.4" x14ac:dyDescent="0.3"/>
  <sheetData>
    <row r="1" spans="2:8" ht="15" thickBot="1" x14ac:dyDescent="0.35"/>
    <row r="2" spans="2:8" ht="16.2" thickBot="1" x14ac:dyDescent="0.4">
      <c r="B2" s="10" t="s">
        <v>0</v>
      </c>
      <c r="C2" s="11" t="s">
        <v>1</v>
      </c>
      <c r="D2" s="12" t="s">
        <v>3</v>
      </c>
    </row>
    <row r="3" spans="2:8" x14ac:dyDescent="0.3">
      <c r="B3" s="4">
        <v>1</v>
      </c>
      <c r="C3" s="5">
        <v>425</v>
      </c>
      <c r="D3" s="6">
        <f>C3/$C$27</f>
        <v>0.21249999999999999</v>
      </c>
      <c r="F3">
        <v>0.1840856774294754</v>
      </c>
      <c r="G3">
        <v>0.15952272727272729</v>
      </c>
      <c r="H3">
        <v>0.13495977711597917</v>
      </c>
    </row>
    <row r="4" spans="2:8" x14ac:dyDescent="0.3">
      <c r="B4" s="2">
        <v>2</v>
      </c>
      <c r="C4" s="1">
        <v>430</v>
      </c>
      <c r="D4" s="3">
        <f>C4/$C$27</f>
        <v>0.215</v>
      </c>
      <c r="F4">
        <v>0.1840856774294754</v>
      </c>
      <c r="G4">
        <v>0.15952272727272729</v>
      </c>
      <c r="H4">
        <v>0.13495977711597917</v>
      </c>
    </row>
    <row r="5" spans="2:8" x14ac:dyDescent="0.3">
      <c r="B5" s="2">
        <v>3</v>
      </c>
      <c r="C5" s="1">
        <v>216</v>
      </c>
      <c r="D5" s="3">
        <f>C5/$C$27</f>
        <v>0.108</v>
      </c>
      <c r="F5">
        <v>0.1840856774294754</v>
      </c>
      <c r="G5">
        <v>0.15952272727272729</v>
      </c>
      <c r="H5">
        <v>0.13495977711597917</v>
      </c>
    </row>
    <row r="6" spans="2:8" x14ac:dyDescent="0.3">
      <c r="B6" s="2">
        <v>4</v>
      </c>
      <c r="C6" s="1">
        <v>341</v>
      </c>
      <c r="D6" s="3">
        <f>C6/$C$27</f>
        <v>0.17050000000000001</v>
      </c>
      <c r="F6">
        <v>0.1840856774294754</v>
      </c>
      <c r="G6">
        <v>0.15952272727272729</v>
      </c>
      <c r="H6">
        <v>0.13495977711597917</v>
      </c>
    </row>
    <row r="7" spans="2:8" x14ac:dyDescent="0.3">
      <c r="B7" s="2">
        <v>5</v>
      </c>
      <c r="C7" s="1">
        <v>225</v>
      </c>
      <c r="D7" s="3">
        <f>C7/$C$27</f>
        <v>0.1125</v>
      </c>
      <c r="F7">
        <v>0.1840856774294754</v>
      </c>
      <c r="G7">
        <v>0.15952272727272729</v>
      </c>
      <c r="H7">
        <v>0.13495977711597917</v>
      </c>
    </row>
    <row r="8" spans="2:8" x14ac:dyDescent="0.3">
      <c r="B8" s="2">
        <v>6</v>
      </c>
      <c r="C8" s="1">
        <v>322</v>
      </c>
      <c r="D8" s="3">
        <f>C8/$C$27</f>
        <v>0.161</v>
      </c>
      <c r="F8">
        <v>0.1840856774294754</v>
      </c>
      <c r="G8">
        <v>0.15952272727272729</v>
      </c>
      <c r="H8">
        <v>0.13495977711597917</v>
      </c>
    </row>
    <row r="9" spans="2:8" x14ac:dyDescent="0.3">
      <c r="B9" s="2">
        <v>7</v>
      </c>
      <c r="C9" s="1">
        <v>280</v>
      </c>
      <c r="D9" s="3">
        <f>C9/$C$27</f>
        <v>0.14000000000000001</v>
      </c>
      <c r="F9">
        <v>0.1840856774294754</v>
      </c>
      <c r="G9">
        <v>0.15952272727272729</v>
      </c>
      <c r="H9">
        <v>0.13495977711597917</v>
      </c>
    </row>
    <row r="10" spans="2:8" x14ac:dyDescent="0.3">
      <c r="B10" s="2">
        <v>8</v>
      </c>
      <c r="C10" s="1">
        <v>306</v>
      </c>
      <c r="D10" s="3">
        <f>C10/$C$27</f>
        <v>0.153</v>
      </c>
      <c r="F10">
        <v>0.1840856774294754</v>
      </c>
      <c r="G10">
        <v>0.15952272727272729</v>
      </c>
      <c r="H10">
        <v>0.13495977711597917</v>
      </c>
    </row>
    <row r="11" spans="2:8" x14ac:dyDescent="0.3">
      <c r="B11" s="2">
        <v>9</v>
      </c>
      <c r="C11" s="1">
        <v>337</v>
      </c>
      <c r="D11" s="3">
        <f>C11/$C$27</f>
        <v>0.16850000000000001</v>
      </c>
      <c r="F11">
        <v>0.1840856774294754</v>
      </c>
      <c r="G11">
        <v>0.15952272727272729</v>
      </c>
      <c r="H11">
        <v>0.13495977711597917</v>
      </c>
    </row>
    <row r="12" spans="2:8" x14ac:dyDescent="0.3">
      <c r="B12" s="2">
        <v>10</v>
      </c>
      <c r="C12" s="1">
        <v>305</v>
      </c>
      <c r="D12" s="3">
        <f>C12/$C$27</f>
        <v>0.1525</v>
      </c>
      <c r="F12">
        <v>0.1840856774294754</v>
      </c>
      <c r="G12">
        <v>0.15952272727272729</v>
      </c>
      <c r="H12">
        <v>0.13495977711597917</v>
      </c>
    </row>
    <row r="13" spans="2:8" x14ac:dyDescent="0.3">
      <c r="B13" s="2">
        <v>11</v>
      </c>
      <c r="C13" s="1">
        <v>356</v>
      </c>
      <c r="D13" s="3">
        <f>C13/$C$27</f>
        <v>0.17799999999999999</v>
      </c>
      <c r="F13">
        <v>0.1840856774294754</v>
      </c>
      <c r="G13">
        <v>0.15952272727272729</v>
      </c>
      <c r="H13">
        <v>0.13495977711597917</v>
      </c>
    </row>
    <row r="14" spans="2:8" x14ac:dyDescent="0.3">
      <c r="B14" s="2">
        <v>12</v>
      </c>
      <c r="C14" s="1">
        <v>402</v>
      </c>
      <c r="D14" s="3">
        <f>C14/$C$27</f>
        <v>0.20100000000000001</v>
      </c>
      <c r="F14">
        <v>0.1840856774294754</v>
      </c>
      <c r="G14">
        <v>0.15952272727272729</v>
      </c>
      <c r="H14">
        <v>0.13495977711597917</v>
      </c>
    </row>
    <row r="15" spans="2:8" x14ac:dyDescent="0.3">
      <c r="B15" s="2">
        <v>13</v>
      </c>
      <c r="C15" s="1">
        <v>216</v>
      </c>
      <c r="D15" s="3">
        <f>C15/$C$27</f>
        <v>0.108</v>
      </c>
      <c r="F15">
        <v>0.1840856774294754</v>
      </c>
      <c r="G15">
        <v>0.15952272727272729</v>
      </c>
      <c r="H15">
        <v>0.13495977711597917</v>
      </c>
    </row>
    <row r="16" spans="2:8" x14ac:dyDescent="0.3">
      <c r="B16" s="2">
        <v>14</v>
      </c>
      <c r="C16" s="1">
        <v>264</v>
      </c>
      <c r="D16" s="3">
        <f>C16/$C$27</f>
        <v>0.13200000000000001</v>
      </c>
      <c r="F16">
        <v>0.1840856774294754</v>
      </c>
      <c r="G16">
        <v>0.15952272727272729</v>
      </c>
      <c r="H16">
        <v>0.13495977711597917</v>
      </c>
    </row>
    <row r="17" spans="2:8" x14ac:dyDescent="0.3">
      <c r="B17" s="2">
        <v>15</v>
      </c>
      <c r="C17" s="1">
        <v>126</v>
      </c>
      <c r="D17" s="3">
        <f>C17/$C$27</f>
        <v>6.3E-2</v>
      </c>
      <c r="F17">
        <v>0.1840856774294754</v>
      </c>
      <c r="G17">
        <v>0.15952272727272729</v>
      </c>
      <c r="H17">
        <v>0.13495977711597917</v>
      </c>
    </row>
    <row r="18" spans="2:8" x14ac:dyDescent="0.3">
      <c r="B18" s="2">
        <v>16</v>
      </c>
      <c r="C18" s="1">
        <v>409</v>
      </c>
      <c r="D18" s="3">
        <f>C18/$C$27</f>
        <v>0.20449999999999999</v>
      </c>
      <c r="F18">
        <v>0.1840856774294754</v>
      </c>
      <c r="G18">
        <v>0.15952272727272729</v>
      </c>
      <c r="H18">
        <v>0.13495977711597917</v>
      </c>
    </row>
    <row r="19" spans="2:8" x14ac:dyDescent="0.3">
      <c r="B19" s="2">
        <v>17</v>
      </c>
      <c r="C19" s="1">
        <v>193</v>
      </c>
      <c r="D19" s="3">
        <f>C19/$C$27</f>
        <v>9.6500000000000002E-2</v>
      </c>
      <c r="F19">
        <v>0.1840856774294754</v>
      </c>
      <c r="G19">
        <v>0.15952272727272729</v>
      </c>
      <c r="H19">
        <v>0.13495977711597917</v>
      </c>
    </row>
    <row r="20" spans="2:8" x14ac:dyDescent="0.3">
      <c r="B20" s="2">
        <v>18</v>
      </c>
      <c r="C20" s="1">
        <v>326</v>
      </c>
      <c r="D20" s="3">
        <f>C20/$C$27</f>
        <v>0.16300000000000001</v>
      </c>
      <c r="F20">
        <v>0.1840856774294754</v>
      </c>
      <c r="G20">
        <v>0.15952272727272729</v>
      </c>
      <c r="H20">
        <v>0.13495977711597917</v>
      </c>
    </row>
    <row r="21" spans="2:8" x14ac:dyDescent="0.3">
      <c r="B21" s="2">
        <v>19</v>
      </c>
      <c r="C21" s="1">
        <v>280</v>
      </c>
      <c r="D21" s="3">
        <f>C21/$C$27</f>
        <v>0.14000000000000001</v>
      </c>
      <c r="F21">
        <v>0.1840856774294754</v>
      </c>
      <c r="G21">
        <v>0.15952272727272729</v>
      </c>
      <c r="H21">
        <v>0.13495977711597917</v>
      </c>
    </row>
    <row r="22" spans="2:8" x14ac:dyDescent="0.3">
      <c r="B22" s="2">
        <v>20</v>
      </c>
      <c r="C22" s="1">
        <v>389</v>
      </c>
      <c r="D22" s="3">
        <f>C22/$C$27</f>
        <v>0.19450000000000001</v>
      </c>
      <c r="F22">
        <v>0.1840856774294754</v>
      </c>
      <c r="G22">
        <v>0.15952272727272729</v>
      </c>
      <c r="H22">
        <v>0.13495977711597917</v>
      </c>
    </row>
    <row r="23" spans="2:8" x14ac:dyDescent="0.3">
      <c r="B23" s="2">
        <v>21</v>
      </c>
      <c r="C23" s="1">
        <v>451</v>
      </c>
      <c r="D23" s="3">
        <f>C23/$C$27</f>
        <v>0.22550000000000001</v>
      </c>
      <c r="F23">
        <v>0.1840856774294754</v>
      </c>
      <c r="G23">
        <v>0.15952272727272729</v>
      </c>
      <c r="H23">
        <v>0.13495977711597917</v>
      </c>
    </row>
    <row r="24" spans="2:8" ht="15" thickBot="1" x14ac:dyDescent="0.35">
      <c r="B24" s="13">
        <v>22</v>
      </c>
      <c r="C24" s="14">
        <v>420</v>
      </c>
      <c r="D24" s="15">
        <f>C24/$C$27</f>
        <v>0.21</v>
      </c>
      <c r="F24">
        <v>0.1840856774294754</v>
      </c>
      <c r="G24">
        <v>0.15952272727272729</v>
      </c>
      <c r="H24">
        <v>0.13495977711597917</v>
      </c>
    </row>
    <row r="25" spans="2:8" ht="15" thickBot="1" x14ac:dyDescent="0.35">
      <c r="B25" s="7"/>
      <c r="C25" s="8"/>
      <c r="D25" s="9">
        <f>SUM(D3:D24)</f>
        <v>3.5095000000000001</v>
      </c>
    </row>
    <row r="27" spans="2:8" x14ac:dyDescent="0.3">
      <c r="B27" t="s">
        <v>2</v>
      </c>
      <c r="C27">
        <v>2000</v>
      </c>
    </row>
    <row r="28" spans="2:8" x14ac:dyDescent="0.3">
      <c r="B28" t="s">
        <v>4</v>
      </c>
      <c r="C28">
        <f>D25/22</f>
        <v>0.15952272727272729</v>
      </c>
    </row>
    <row r="30" spans="2:8" ht="15.6" x14ac:dyDescent="0.35">
      <c r="B30" t="s">
        <v>5</v>
      </c>
      <c r="C30">
        <f>$C$28+3*SQRT(($C$28*(1-$C$28))/$C$27)</f>
        <v>0.1840856774294754</v>
      </c>
    </row>
    <row r="31" spans="2:8" ht="15.6" x14ac:dyDescent="0.35">
      <c r="B31" t="s">
        <v>6</v>
      </c>
      <c r="C31">
        <f>C28</f>
        <v>0.15952272727272729</v>
      </c>
    </row>
    <row r="32" spans="2:8" ht="15.6" x14ac:dyDescent="0.35">
      <c r="B32" t="s">
        <v>7</v>
      </c>
      <c r="C32">
        <f>$C$28-3*SQRT(($C$28*(1-$C$28))/$C$27)</f>
        <v>0.13495977711597917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Prashant gupta</dc:creator>
  <cp:lastModifiedBy>Prashant gupta</cp:lastModifiedBy>
  <dcterms:created xsi:type="dcterms:W3CDTF">2024-03-01T13:34:02Z</dcterms:created>
  <dcterms:modified xsi:type="dcterms:W3CDTF">2024-03-01T13:51:53Z</dcterms:modified>
</cp:coreProperties>
</file>