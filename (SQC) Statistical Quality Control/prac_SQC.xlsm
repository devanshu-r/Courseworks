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835fe141e38722/Desktop/Harsh Excel and Word Files/"/>
    </mc:Choice>
  </mc:AlternateContent>
  <xr:revisionPtr revIDLastSave="6" documentId="8_{513FD2DF-F6E7-468B-AC09-4C21DD89A984}" xr6:coauthVersionLast="47" xr6:coauthVersionMax="47" xr10:uidLastSave="{1B9B3207-DEA4-4D32-BA62-16B3A7DAB052}"/>
  <bookViews>
    <workbookView xWindow="-108" yWindow="-108" windowWidth="23256" windowHeight="12456" xr2:uid="{25C5385F-F9DC-4A0A-955F-33EA386EBC4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1" l="1"/>
  <c r="F19" i="1"/>
  <c r="F20" i="1"/>
  <c r="C21" i="1"/>
  <c r="C20" i="1"/>
  <c r="C19" i="1"/>
  <c r="C16" i="1"/>
  <c r="C15" i="1"/>
  <c r="D13" i="1"/>
  <c r="C13" i="1"/>
</calcChain>
</file>

<file path=xl/sharedStrings.xml><?xml version="1.0" encoding="utf-8"?>
<sst xmlns="http://schemas.openxmlformats.org/spreadsheetml/2006/main" count="17" uniqueCount="17">
  <si>
    <t>S.No.</t>
  </si>
  <si>
    <t>Range</t>
  </si>
  <si>
    <t>Mean</t>
  </si>
  <si>
    <t>R bar</t>
  </si>
  <si>
    <t>X bar</t>
  </si>
  <si>
    <t>X chart</t>
  </si>
  <si>
    <r>
      <t>UCL</t>
    </r>
    <r>
      <rPr>
        <vertAlign val="subscript"/>
        <sz val="11"/>
        <color theme="1"/>
        <rFont val="Calibri"/>
        <family val="2"/>
        <scheme val="minor"/>
      </rPr>
      <t>x</t>
    </r>
  </si>
  <si>
    <r>
      <t>CL</t>
    </r>
    <r>
      <rPr>
        <vertAlign val="subscript"/>
        <sz val="11"/>
        <color theme="1"/>
        <rFont val="Calibri"/>
        <family val="2"/>
        <scheme val="minor"/>
      </rPr>
      <t>x</t>
    </r>
  </si>
  <si>
    <r>
      <t>LCL</t>
    </r>
    <r>
      <rPr>
        <vertAlign val="subscript"/>
        <sz val="11"/>
        <color theme="1"/>
        <rFont val="Calibri"/>
        <family val="2"/>
        <scheme val="minor"/>
      </rPr>
      <t>x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</si>
  <si>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</si>
  <si>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</t>
    </r>
  </si>
  <si>
    <t>n=</t>
  </si>
  <si>
    <t>R chart</t>
  </si>
  <si>
    <r>
      <t>UCL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</si>
  <si>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r>
      <t>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</si>
  <si>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r>
      <t>LCL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</si>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</sst>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X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Sheet1!$F$3:$F$12</c:f>
              <c:numCache>
                <c:formatCode>General</c:formatCode>
                <c:ptCount val="10"/>
                <c:pt idx="0">
                  <c:v>47.545449940541388</c:v>
                </c:pt>
                <c:pt idx="1">
                  <c:v>47.545449940541388</c:v>
                </c:pt>
                <c:pt idx="2">
                  <c:v>47.545449940541388</c:v>
                </c:pt>
                <c:pt idx="3">
                  <c:v>47.545449940541388</c:v>
                </c:pt>
                <c:pt idx="4">
                  <c:v>47.545449940541388</c:v>
                </c:pt>
                <c:pt idx="5">
                  <c:v>47.545449940541388</c:v>
                </c:pt>
                <c:pt idx="6">
                  <c:v>47.545449940541388</c:v>
                </c:pt>
                <c:pt idx="7">
                  <c:v>47.545449940541388</c:v>
                </c:pt>
                <c:pt idx="8">
                  <c:v>47.545449940541388</c:v>
                </c:pt>
                <c:pt idx="9">
                  <c:v>47.545449940541388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2E-4C96-BD19-A200851F593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Sheet1!$G$3:$G$12</c:f>
              <c:numCache>
                <c:formatCode>General</c:formatCode>
                <c:ptCount val="10"/>
                <c:pt idx="0">
                  <c:v>44.2</c:v>
                </c:pt>
                <c:pt idx="1">
                  <c:v>44.2</c:v>
                </c:pt>
                <c:pt idx="2">
                  <c:v>44.2</c:v>
                </c:pt>
                <c:pt idx="3">
                  <c:v>44.2</c:v>
                </c:pt>
                <c:pt idx="4">
                  <c:v>44.2</c:v>
                </c:pt>
                <c:pt idx="5">
                  <c:v>44.2</c:v>
                </c:pt>
                <c:pt idx="6">
                  <c:v>44.2</c:v>
                </c:pt>
                <c:pt idx="7">
                  <c:v>44.2</c:v>
                </c:pt>
                <c:pt idx="8">
                  <c:v>44.2</c:v>
                </c:pt>
                <c:pt idx="9">
                  <c:v>44.2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2E-4C96-BD19-A200851F593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Sheet1!$H$3:$H$12</c:f>
              <c:numCache>
                <c:formatCode>General</c:formatCode>
                <c:ptCount val="10"/>
                <c:pt idx="0">
                  <c:v>40.854550059458617</c:v>
                </c:pt>
                <c:pt idx="1">
                  <c:v>40.854550059458617</c:v>
                </c:pt>
                <c:pt idx="2">
                  <c:v>40.854550059458617</c:v>
                </c:pt>
                <c:pt idx="3">
                  <c:v>40.854550059458617</c:v>
                </c:pt>
                <c:pt idx="4">
                  <c:v>40.854550059458617</c:v>
                </c:pt>
                <c:pt idx="5">
                  <c:v>40.854550059458617</c:v>
                </c:pt>
                <c:pt idx="6">
                  <c:v>40.854550059458617</c:v>
                </c:pt>
                <c:pt idx="7">
                  <c:v>40.854550059458617</c:v>
                </c:pt>
                <c:pt idx="8">
                  <c:v>40.854550059458617</c:v>
                </c:pt>
                <c:pt idx="9">
                  <c:v>40.854550059458617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2E-4C96-BD19-A200851F593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Sheet1!$D$3:$D$12</c:f>
              <c:numCache>
                <c:formatCode>General</c:formatCode>
                <c:ptCount val="10"/>
                <c:pt idx="0">
                  <c:v>43</c:v>
                </c:pt>
                <c:pt idx="1">
                  <c:v>49</c:v>
                </c:pt>
                <c:pt idx="2">
                  <c:v>37</c:v>
                </c:pt>
                <c:pt idx="3">
                  <c:v>44</c:v>
                </c:pt>
                <c:pt idx="4">
                  <c:v>45</c:v>
                </c:pt>
                <c:pt idx="5">
                  <c:v>37</c:v>
                </c:pt>
                <c:pt idx="6">
                  <c:v>51</c:v>
                </c:pt>
                <c:pt idx="7">
                  <c:v>46</c:v>
                </c:pt>
                <c:pt idx="8">
                  <c:v>43</c:v>
                </c:pt>
                <c:pt idx="9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2E-4C96-BD19-A200851F5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8571840"/>
        <c:axId val="35795808"/>
      </c:lineChart>
      <c:catAx>
        <c:axId val="2048571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95808"/>
        <c:crosses val="autoZero"/>
        <c:auto val="1"/>
        <c:lblAlgn val="ctr"/>
        <c:lblOffset val="100"/>
        <c:noMultiLvlLbl val="0"/>
      </c:catAx>
      <c:valAx>
        <c:axId val="3579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57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Sheet1!$J$3:$J$12</c:f>
              <c:numCache>
                <c:formatCode>General</c:formatCode>
                <c:ptCount val="10"/>
                <c:pt idx="0">
                  <c:v>12.263284608770421</c:v>
                </c:pt>
                <c:pt idx="1">
                  <c:v>12.263284608770421</c:v>
                </c:pt>
                <c:pt idx="2">
                  <c:v>12.263284608770421</c:v>
                </c:pt>
                <c:pt idx="3">
                  <c:v>12.263284608770421</c:v>
                </c:pt>
                <c:pt idx="4">
                  <c:v>12.263284608770421</c:v>
                </c:pt>
                <c:pt idx="5">
                  <c:v>12.263284608770421</c:v>
                </c:pt>
                <c:pt idx="6">
                  <c:v>12.263284608770421</c:v>
                </c:pt>
                <c:pt idx="7">
                  <c:v>12.263284608770421</c:v>
                </c:pt>
                <c:pt idx="8">
                  <c:v>12.263284608770421</c:v>
                </c:pt>
                <c:pt idx="9">
                  <c:v>12.263284608770421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9-426A-9508-A118A445D09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Sheet1!$K$3:$K$12</c:f>
              <c:numCache>
                <c:formatCode>General</c:formatCode>
                <c:ptCount val="10"/>
                <c:pt idx="0">
                  <c:v>5.8</c:v>
                </c:pt>
                <c:pt idx="1">
                  <c:v>5.8</c:v>
                </c:pt>
                <c:pt idx="2">
                  <c:v>5.8</c:v>
                </c:pt>
                <c:pt idx="3">
                  <c:v>5.8</c:v>
                </c:pt>
                <c:pt idx="4">
                  <c:v>5.8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5.8</c:v>
                </c:pt>
                <c:pt idx="9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19-426A-9508-A118A445D09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Sheet1!$L$3:$L$12</c:f>
              <c:numCache>
                <c:formatCode>General</c:formatCode>
                <c:ptCount val="10"/>
                <c:pt idx="0">
                  <c:v>-0.66328460877042161</c:v>
                </c:pt>
                <c:pt idx="1">
                  <c:v>-0.66328460877042161</c:v>
                </c:pt>
                <c:pt idx="2">
                  <c:v>-0.66328460877042161</c:v>
                </c:pt>
                <c:pt idx="3">
                  <c:v>-0.66328460877042161</c:v>
                </c:pt>
                <c:pt idx="4">
                  <c:v>-0.66328460877042161</c:v>
                </c:pt>
                <c:pt idx="5">
                  <c:v>-0.66328460877042161</c:v>
                </c:pt>
                <c:pt idx="6">
                  <c:v>-0.66328460877042161</c:v>
                </c:pt>
                <c:pt idx="7">
                  <c:v>-0.66328460877042161</c:v>
                </c:pt>
                <c:pt idx="8">
                  <c:v>-0.66328460877042161</c:v>
                </c:pt>
                <c:pt idx="9">
                  <c:v>-0.66328460877042161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19-426A-9508-A118A445D09A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Sheet1!$C$3:$C$12</c:f>
              <c:numCache>
                <c:formatCode>General</c:formatCode>
                <c:ptCount val="10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7</c:v>
                </c:pt>
                <c:pt idx="4">
                  <c:v>7</c:v>
                </c:pt>
                <c:pt idx="5">
                  <c:v>4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19-426A-9508-A118A445D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8581920"/>
        <c:axId val="35801760"/>
      </c:lineChart>
      <c:catAx>
        <c:axId val="204858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1760"/>
        <c:crosses val="autoZero"/>
        <c:auto val="1"/>
        <c:lblAlgn val="ctr"/>
        <c:lblOffset val="100"/>
        <c:noMultiLvlLbl val="0"/>
      </c:catAx>
      <c:valAx>
        <c:axId val="3580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58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140970</xdr:rowOff>
    </xdr:from>
    <xdr:to>
      <xdr:col>19</xdr:col>
      <xdr:colOff>381000</xdr:colOff>
      <xdr:row>31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71FA35-682E-CC6F-5A0C-C45B26B9EF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510540</xdr:colOff>
      <xdr:row>0</xdr:row>
      <xdr:rowOff>0</xdr:rowOff>
    </xdr:from>
    <xdr:to>
      <xdr:col>19</xdr:col>
      <xdr:colOff>205740</xdr:colOff>
      <xdr:row>14</xdr:row>
      <xdr:rowOff>182880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8E98FC8-2FA9-48B5-3BB4-C2A7C8937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E1F0B-39E2-405A-AC08-4BD990EDF499}">
  <dimension ref="B1:L21"/>
  <sheetViews>
    <sheetView tabSelected="1" workbookViewId="0">
      <selection activeCell="B14" sqref="B14"/>
    </sheetView>
  </sheetViews>
  <sheetFormatPr defaultRowHeight="14.4" x14ac:dyDescent="0.3"/>
  <sheetData>
    <row r="1" spans="2:12" ht="15" thickBot="1" x14ac:dyDescent="0.35"/>
    <row r="2" spans="2:12" ht="15" thickBot="1" x14ac:dyDescent="0.35">
      <c r="B2" s="10" t="s">
        <v>0</v>
      </c>
      <c r="C2" s="11" t="s">
        <v>1</v>
      </c>
      <c r="D2" s="12" t="s">
        <v>2</v>
      </c>
    </row>
    <row r="3" spans="2:12" x14ac:dyDescent="0.3">
      <c r="B3" s="4">
        <v>1</v>
      </c>
      <c r="C3" s="5">
        <v>5</v>
      </c>
      <c r="D3" s="6">
        <v>43</v>
      </c>
      <c r="F3">
        <v>47.545449940541388</v>
      </c>
      <c r="G3">
        <v>44.2</v>
      </c>
      <c r="H3">
        <v>40.854550059458617</v>
      </c>
      <c r="J3">
        <v>12.263284608770421</v>
      </c>
      <c r="K3">
        <v>5.8</v>
      </c>
      <c r="L3">
        <v>-0.66328460877042161</v>
      </c>
    </row>
    <row r="4" spans="2:12" x14ac:dyDescent="0.3">
      <c r="B4" s="2">
        <v>2</v>
      </c>
      <c r="C4" s="1">
        <v>6</v>
      </c>
      <c r="D4" s="3">
        <v>49</v>
      </c>
      <c r="F4">
        <v>47.545449940541388</v>
      </c>
      <c r="G4">
        <v>44.2</v>
      </c>
      <c r="H4">
        <v>40.854550059458617</v>
      </c>
      <c r="J4">
        <v>12.263284608770421</v>
      </c>
      <c r="K4">
        <v>5.8</v>
      </c>
      <c r="L4">
        <v>-0.66328460877042161</v>
      </c>
    </row>
    <row r="5" spans="2:12" x14ac:dyDescent="0.3">
      <c r="B5" s="2">
        <v>3</v>
      </c>
      <c r="C5" s="1">
        <v>5</v>
      </c>
      <c r="D5" s="3">
        <v>37</v>
      </c>
      <c r="F5">
        <v>47.545449940541388</v>
      </c>
      <c r="G5">
        <v>44.2</v>
      </c>
      <c r="H5">
        <v>40.854550059458617</v>
      </c>
      <c r="J5">
        <v>12.263284608770421</v>
      </c>
      <c r="K5">
        <v>5.8</v>
      </c>
      <c r="L5">
        <v>-0.66328460877042161</v>
      </c>
    </row>
    <row r="6" spans="2:12" x14ac:dyDescent="0.3">
      <c r="B6" s="2">
        <v>4</v>
      </c>
      <c r="C6" s="1">
        <v>7</v>
      </c>
      <c r="D6" s="3">
        <v>44</v>
      </c>
      <c r="F6">
        <v>47.545449940541388</v>
      </c>
      <c r="G6">
        <v>44.2</v>
      </c>
      <c r="H6">
        <v>40.854550059458617</v>
      </c>
      <c r="J6">
        <v>12.263284608770421</v>
      </c>
      <c r="K6">
        <v>5.8</v>
      </c>
      <c r="L6">
        <v>-0.66328460877042161</v>
      </c>
    </row>
    <row r="7" spans="2:12" x14ac:dyDescent="0.3">
      <c r="B7" s="2">
        <v>5</v>
      </c>
      <c r="C7" s="1">
        <v>7</v>
      </c>
      <c r="D7" s="3">
        <v>45</v>
      </c>
      <c r="F7">
        <v>47.545449940541388</v>
      </c>
      <c r="G7">
        <v>44.2</v>
      </c>
      <c r="H7">
        <v>40.854550059458617</v>
      </c>
      <c r="J7">
        <v>12.263284608770421</v>
      </c>
      <c r="K7">
        <v>5.8</v>
      </c>
      <c r="L7">
        <v>-0.66328460877042161</v>
      </c>
    </row>
    <row r="8" spans="2:12" x14ac:dyDescent="0.3">
      <c r="B8" s="2">
        <v>6</v>
      </c>
      <c r="C8" s="1">
        <v>4</v>
      </c>
      <c r="D8" s="3">
        <v>37</v>
      </c>
      <c r="F8">
        <v>47.545449940541388</v>
      </c>
      <c r="G8">
        <v>44.2</v>
      </c>
      <c r="H8">
        <v>40.854550059458617</v>
      </c>
      <c r="J8">
        <v>12.263284608770421</v>
      </c>
      <c r="K8">
        <v>5.8</v>
      </c>
      <c r="L8">
        <v>-0.66328460877042161</v>
      </c>
    </row>
    <row r="9" spans="2:12" x14ac:dyDescent="0.3">
      <c r="B9" s="2">
        <v>7</v>
      </c>
      <c r="C9" s="1">
        <v>8</v>
      </c>
      <c r="D9" s="3">
        <v>51</v>
      </c>
      <c r="F9">
        <v>47.545449940541388</v>
      </c>
      <c r="G9">
        <v>44.2</v>
      </c>
      <c r="H9">
        <v>40.854550059458617</v>
      </c>
      <c r="J9">
        <v>12.263284608770421</v>
      </c>
      <c r="K9">
        <v>5.8</v>
      </c>
      <c r="L9">
        <v>-0.66328460877042161</v>
      </c>
    </row>
    <row r="10" spans="2:12" x14ac:dyDescent="0.3">
      <c r="B10" s="2">
        <v>8</v>
      </c>
      <c r="C10" s="1">
        <v>6</v>
      </c>
      <c r="D10" s="3">
        <v>46</v>
      </c>
      <c r="F10">
        <v>47.545449940541388</v>
      </c>
      <c r="G10">
        <v>44.2</v>
      </c>
      <c r="H10">
        <v>40.854550059458617</v>
      </c>
      <c r="J10">
        <v>12.263284608770421</v>
      </c>
      <c r="K10">
        <v>5.8</v>
      </c>
      <c r="L10">
        <v>-0.66328460877042161</v>
      </c>
    </row>
    <row r="11" spans="2:12" x14ac:dyDescent="0.3">
      <c r="B11" s="2">
        <v>9</v>
      </c>
      <c r="C11" s="1">
        <v>4</v>
      </c>
      <c r="D11" s="3">
        <v>43</v>
      </c>
      <c r="F11">
        <v>47.545449940541388</v>
      </c>
      <c r="G11">
        <v>44.2</v>
      </c>
      <c r="H11">
        <v>40.854550059458617</v>
      </c>
      <c r="J11">
        <v>12.263284608770421</v>
      </c>
      <c r="K11">
        <v>5.8</v>
      </c>
      <c r="L11">
        <v>-0.66328460877042161</v>
      </c>
    </row>
    <row r="12" spans="2:12" ht="15" thickBot="1" x14ac:dyDescent="0.35">
      <c r="B12" s="13">
        <v>10</v>
      </c>
      <c r="C12" s="14">
        <v>6</v>
      </c>
      <c r="D12" s="15">
        <v>47</v>
      </c>
      <c r="F12">
        <v>47.545449940541388</v>
      </c>
      <c r="G12">
        <v>44.2</v>
      </c>
      <c r="H12">
        <v>40.854550059458617</v>
      </c>
      <c r="J12">
        <v>12.263284608770421</v>
      </c>
      <c r="K12">
        <v>5.8</v>
      </c>
      <c r="L12">
        <v>-0.66328460877042161</v>
      </c>
    </row>
    <row r="13" spans="2:12" ht="15" thickBot="1" x14ac:dyDescent="0.35">
      <c r="B13" s="7" t="s">
        <v>16</v>
      </c>
      <c r="C13" s="8">
        <f>SUM(C3:C12)</f>
        <v>58</v>
      </c>
      <c r="D13" s="9">
        <f>SUM(D3:D12)</f>
        <v>442</v>
      </c>
    </row>
    <row r="15" spans="2:12" ht="15.6" x14ac:dyDescent="0.35">
      <c r="B15" t="s">
        <v>3</v>
      </c>
      <c r="C15">
        <f>C13/10</f>
        <v>5.8</v>
      </c>
      <c r="D15" t="s">
        <v>9</v>
      </c>
      <c r="E15">
        <v>2.3260000000000001</v>
      </c>
      <c r="F15" t="s">
        <v>11</v>
      </c>
      <c r="G15">
        <v>5</v>
      </c>
    </row>
    <row r="16" spans="2:12" ht="15.6" x14ac:dyDescent="0.35">
      <c r="B16" t="s">
        <v>4</v>
      </c>
      <c r="C16">
        <f>D13/10</f>
        <v>44.2</v>
      </c>
      <c r="D16" t="s">
        <v>10</v>
      </c>
      <c r="E16">
        <v>0.86399999999999999</v>
      </c>
    </row>
    <row r="18" spans="2:6" x14ac:dyDescent="0.3">
      <c r="B18" t="s">
        <v>5</v>
      </c>
      <c r="E18" t="s">
        <v>12</v>
      </c>
    </row>
    <row r="19" spans="2:6" ht="15.6" x14ac:dyDescent="0.35">
      <c r="B19" t="s">
        <v>6</v>
      </c>
      <c r="C19">
        <f>$C$16+((3*$C$15)/($E$15*SQRT($G$15)))</f>
        <v>47.545449940541388</v>
      </c>
      <c r="E19" t="s">
        <v>13</v>
      </c>
      <c r="F19">
        <f>$C$15+(3*$E$16*$C$15)/$E$15</f>
        <v>12.263284608770421</v>
      </c>
    </row>
    <row r="20" spans="2:6" ht="15.6" x14ac:dyDescent="0.35">
      <c r="B20" t="s">
        <v>7</v>
      </c>
      <c r="C20">
        <f>C16</f>
        <v>44.2</v>
      </c>
      <c r="E20" t="s">
        <v>14</v>
      </c>
      <c r="F20">
        <f>C15</f>
        <v>5.8</v>
      </c>
    </row>
    <row r="21" spans="2:6" ht="15.6" x14ac:dyDescent="0.35">
      <c r="B21" t="s">
        <v>8</v>
      </c>
      <c r="C21">
        <f>$C$16-((3*$C$15)/($E$15*SQRT($G$15)))</f>
        <v>40.854550059458617</v>
      </c>
      <c r="E21" t="s">
        <v>15</v>
      </c>
      <c r="F21">
        <f>$C$15-(3*$E$16*$C$15)/$E$15</f>
        <v>-0.66328460877042161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 gupta</dc:creator>
  <cp:lastModifiedBy>Prashant gupta</cp:lastModifiedBy>
  <dcterms:created xsi:type="dcterms:W3CDTF">2024-02-29T18:27:59Z</dcterms:created>
  <dcterms:modified xsi:type="dcterms:W3CDTF">2024-03-01T14:47:27Z</dcterms:modified>
</cp:coreProperties>
</file>